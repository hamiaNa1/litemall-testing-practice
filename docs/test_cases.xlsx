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00756089c33941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概览" sheetId="1" r:id="R7d3b6d73799a412c"/>
    <x:sheet xmlns:r="http://schemas.openxmlformats.org/officeDocument/2006/relationships" name="测试用例" sheetId="2" r:id="R839122df5d2d41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0"/>
      <x:color rgb="FF172033"/>
      <x:name val="Arial"/>
    </x:font>
    <x:font>
      <x:b/>
      <x:sz val="14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951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3">
    <x:dxf>
      <x:font>
        <x:b/>
        <x:color rgb="FFA52A2A"/>
      </x:font>
      <x:fill>
        <x:patternFill patternType="solid">
          <x:bgColor rgb="FFFDE6E6"/>
        </x:patternFill>
      </x:fill>
    </x:dxf>
    <x:dxf>
      <x:font>
        <x:b/>
        <x:color rgb="FF8A5A00"/>
      </x:font>
      <x:fill>
        <x:patternFill patternType="solid">
          <x:bgColor rgb="FFFFF0CD"/>
        </x:patternFill>
      </x:fill>
    </x:dxf>
    <x:dxf>
      <x:font>
        <x:b/>
        <x:color rgb="FFA52A2A"/>
      </x:font>
      <x:fill>
        <x:patternFill patternType="solid">
          <x:bgColor rgb="FFFDE6E6"/>
        </x:patternFill>
      </x:fill>
    </x:dxf>
  </x:dxf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223fa79ea57a4be2" /><Relationship Type="http://schemas.openxmlformats.org/officeDocument/2006/relationships/theme" Target="/xl/theme/theme1.xml" Id="R63e112f9e3f94372" /><Relationship Type="http://schemas.openxmlformats.org/officeDocument/2006/relationships/sharedStrings" Target="/xl/sharedStrings.xml" Id="R8c444ad9c5434295" /><Relationship Type="http://schemas.openxmlformats.org/officeDocument/2006/relationships/worksheet" Target="/xl/worksheets/sheet1.xml" Id="R7d3b6d73799a412c" /><Relationship Type="http://schemas.openxmlformats.org/officeDocument/2006/relationships/worksheet" Target="/xl/worksheets/sheet2.xml" Id="R839122df5d2d41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9.380000114440918" hidden="0" customWidth="1"/>
    <x:col min="3" max="3" width="9.380000114440918" hidden="0" customWidth="1"/>
    <x:col min="4" max="4" width="9.380000114440918" hidden="0" customWidth="1"/>
    <x:col min="5" max="5" width="9.380000114440918" hidden="0" customWidth="1"/>
    <x:col min="6" max="6" width="55" hidden="0" customWidth="1"/>
  </x:cols>
  <x:sheetData>
    <x:row r="2">
      <x:c r="A2" s="2" t="str">
        <x:v>测试执行结果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0" customHeight="1">
      <x:c r="A4" s="5" t="str">
        <x:v>执行类别</x:v>
      </x:c>
      <x:c r="B4" s="5" t="str">
        <x:v>通过</x:v>
      </x:c>
      <x:c r="C4" s="5" t="str">
        <x:v>失败</x:v>
      </x:c>
      <x:c r="D4" s="5" t="str">
        <x:v>跳过</x:v>
      </x:c>
      <x:c r="E4" s="5" t="str">
        <x:v>阻塞</x:v>
      </x:c>
      <x:c r="F4" s="5" t="str">
        <x:v>说明</x:v>
      </x:c>
    </x:row>
    <x:row r="5" ht="36" customHeight="1">
      <x:c r="A5" s="9" t="str">
        <x:v>P0业务检查</x:v>
      </x:c>
      <x:c r="B5" s="11" t="n">
        <x:f>COUNTIFS('测试用例'!$B$5:$B$62,"P0业务检查",'测试用例'!$I$5:$I$62,"通过")</x:f>
        <x:v>17</x:v>
      </x:c>
      <x:c r="C5" s="11" t="n">
        <x:f>COUNTIFS('测试用例'!$B$5:$B$62,"P0业务检查",'测试用例'!$I$5:$I$62,"失败")</x:f>
        <x:v>0</x:v>
      </x:c>
      <x:c r="D5" s="11" t="n">
        <x:v>0</x:v>
      </x:c>
      <x:c r="E5" s="11" t="n">
        <x:v>0</x:v>
      </x:c>
      <x:c r="F5" s="9" t="str">
        <x:v>实际API业务检查及SQL核对；与自动化场景有重叠</x:v>
      </x:c>
    </x:row>
    <x:row r="6" ht="36" customHeight="1">
      <x:c r="A6" s="9" t="str">
        <x:v>pytest接口</x:v>
      </x:c>
      <x:c r="B6" s="11" t="n">
        <x:f>COUNTIFS('测试用例'!$B$5:$B$62,"pytest接口",'测试用例'!$I$5:$I$62,"通过")</x:f>
        <x:v>33</x:v>
      </x:c>
      <x:c r="C6" s="11" t="n">
        <x:f>COUNTIFS('测试用例'!$B$5:$B$62,"pytest接口",'测试用例'!$I$5:$I$62,"失败")</x:f>
        <x:v>3</x:v>
      </x:c>
      <x:c r="D6" s="11" t="n">
        <x:v>0</x:v>
      </x:c>
      <x:c r="E6" s="11" t="n">
        <x:v>0</x:v>
      </x:c>
      <x:c r="F6" s="9" t="str">
        <x:v>33通过；3项真实商城缺陷仍未修复</x:v>
      </x:c>
    </x:row>
    <x:row r="7" ht="36" customHeight="1">
      <x:c r="A7" s="9" t="str">
        <x:v>pytest页面</x:v>
      </x:c>
      <x:c r="B7" s="11" t="n">
        <x:f>COUNTIFS('测试用例'!$B$5:$B$62,"pytest页面",'测试用例'!$I$5:$I$62,"通过")</x:f>
        <x:v>3</x:v>
      </x:c>
      <x:c r="C7" s="11" t="n">
        <x:f>COUNTIFS('测试用例'!$B$5:$B$62,"pytest页面",'测试用例'!$I$5:$I$62,"失败")</x:f>
        <x:v>1</x:v>
      </x:c>
      <x:c r="D7" s="11" t="n">
        <x:v>0</x:v>
      </x:c>
      <x:c r="E7" s="11" t="n">
        <x:v>0</x:v>
      </x:c>
      <x:c r="F7" s="9" t="str">
        <x:v>3通过；1项详情页取消缺陷；真实Chromium</x:v>
      </x:c>
    </x:row>
    <x:row r="8" ht="36" customHeight="1">
      <x:c r="A8" s="9" t="str">
        <x:v>pytest完整批次</x:v>
      </x:c>
      <x:c r="B8" s="11" t="n">
        <x:f>SUM(B6:B7)</x:f>
        <x:v>36</x:v>
      </x:c>
      <x:c r="C8" s="11" t="n">
        <x:f>SUM(C6:C7)</x:f>
        <x:v>4</x:v>
      </x:c>
      <x:c r="D8" s="11" t="n">
        <x:v>0</x:v>
      </x:c>
      <x:c r="E8" s="11" t="n">
        <x:v>0</x:v>
      </x:c>
      <x:c r="F8" s="9" t="str">
        <x:v>40用例；0环境错误；真实完整报告保留失败</x:v>
      </x:c>
    </x:row>
    <x:row r="9" ht="36" customHeight="1">
      <x:c r="A9" s="9" t="str">
        <x:v>Postman请求</x:v>
      </x:c>
      <x:c r="B9" s="11" t="n">
        <x:v>14</x:v>
      </x:c>
      <x:c r="C9" s="11" t="n">
        <x:v>0</x:v>
      </x:c>
      <x:c r="D9" s="11" t="n">
        <x:v>0</x:v>
      </x:c>
      <x:c r="E9" s="11" t="n">
        <x:v>0</x:v>
      </x:c>
      <x:c r="F9" s="9" t="str">
        <x:v>Newman执行14真实请求；不是打开Postman GUI的记录</x:v>
      </x:c>
    </x:row>
    <x:row r="10" ht="36" customHeight="1">
      <x:c r="A10" s="9" t="str">
        <x:v>Newman断言</x:v>
      </x:c>
      <x:c r="B10" s="11" t="n">
        <x:v>52</x:v>
      </x:c>
      <x:c r="C10" s="11" t="n">
        <x:v>0</x:v>
      </x:c>
      <x:c r="D10" s="11" t="n">
        <x:v>0</x:v>
      </x:c>
      <x:c r="E10" s="11" t="n">
        <x:v>0</x:v>
      </x:c>
      <x:c r="F10" s="9" t="str">
        <x:v>请求响应结构、Token关联、订单业务状态均有明确断言</x:v>
      </x:c>
    </x:row>
    <x:row r="11" ht="36" customHeight="1">
      <x:c r="A11" s="9" t="str">
        <x:v>成功注册</x:v>
      </x:c>
      <x:c r="B11" s="11" t="n">
        <x:v>0</x:v>
      </x:c>
      <x:c r="C11" s="11" t="n">
        <x:v>0</x:v>
      </x:c>
      <x:c r="D11" s="11" t="n">
        <x:v>0</x:v>
      </x:c>
      <x:c r="E11" s="11" t="n">
        <x:v>1</x:v>
      </x:c>
      <x:c r="F11" s="9" t="str">
        <x:v>SMS关闭，regCaptcha实测errno=701；未计为pytest跳过</x:v>
      </x:c>
    </x:row>
    <x:row r="12" ht="36" customHeight="1">
      <x:c r="A12" s="9" t="str">
        <x:v>正常重复回归</x:v>
      </x:c>
      <x:c r="B12" s="11" t="n">
        <x:v>36</x:v>
      </x:c>
      <x:c r="C12" s="11" t="n">
        <x:v>0</x:v>
      </x:c>
      <x:c r="D12" s="11" t="n">
        <x:v>0</x:v>
      </x:c>
      <x:c r="E12" s="11" t="n">
        <x:v>0</x:v>
      </x:c>
      <x:c r="F12" s="9" t="str">
        <x:v>显式排除4项defect；不等于缺陷已修复</x:v>
      </x:c>
    </x:row>
    <x:row r="13" ht="36" customHeight="1">
      <x:c r="A13" s="9"/>
      <x:c r="B13" s="9"/>
      <x:c r="C13" s="9"/>
      <x:c r="D13" s="9"/>
      <x:c r="E13" s="9"/>
      <x:c r="F13" s="9"/>
    </x:row>
    <x:row r="14" ht="36" customHeight="1">
      <x:c r="A14" s="9"/>
      <x:c r="B14" s="9"/>
      <x:c r="C14" s="9"/>
      <x:c r="D14" s="9"/>
      <x:c r="E14" s="9"/>
      <x:c r="F14" s="9"/>
    </x:row>
    <x:row r="15" ht="36" customHeight="1">
      <x:c r="A15" s="9" t="str">
        <x:v>统计范围</x:v>
      </x:c>
      <x:c r="B15" s="9"/>
      <x:c r="C15" s="9"/>
      <x:c r="D15" s="9"/>
      <x:c r="E15" s="9"/>
      <x:c r="F15" s="9" t="str">
        <x:v>各批次有重叠，请不要相加为独立覆盖数。</x:v>
      </x:c>
    </x:row>
    <x:row r="16" ht="36" customHeight="1">
      <x:c r="A16" s="9" t="str">
        <x:v>证据来源</x:v>
      </x:c>
      <x:c r="B16" s="9"/>
      <x:c r="C16" s="9"/>
      <x:c r="D16" s="9"/>
      <x:c r="E16" s="9"/>
      <x:c r="F16" s="9" t="str">
        <x:v>实际JUnit/P0 results.json/Newman日志；逐项证据在测试用例J列。</x:v>
      </x:c>
    </x:row>
    <x:row r="17" ht="36" customHeight="1">
      <x:c r="A17" s="9" t="str">
        <x:v>未覆盖</x:v>
      </x:c>
      <x:c r="B17" s="9"/>
      <x:c r="C17" s="9"/>
      <x:c r="D17" s="9"/>
      <x:c r="E17" s="9"/>
      <x:c r="F17" s="9" t="str">
        <x:v>有效短信注册、微信支付退款、管理员写功能、多浏览器、JMeter、Linux实测。</x:v>
      </x:c>
    </x:row>
  </x:sheetData>
  <x:conditionalFormatting sqref="C5:C12">
    <x:cfRule type="cellIs" dxfId="2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36.25" hidden="0" customWidth="1"/>
    <x:col min="4" max="4" width="20" hidden="0" customWidth="1"/>
    <x:col min="5" max="5" width="33.75" hidden="0" customWidth="1"/>
    <x:col min="6" max="6" width="51.25" hidden="0" customWidth="1"/>
    <x:col min="7" max="7" width="47.5" hidden="0" customWidth="1"/>
    <x:col min="8" max="8" width="48.75" hidden="0" customWidth="1"/>
    <x:col min="9" max="9" width="11.25" hidden="0" customWidth="1"/>
    <x:col min="10" max="10" width="72.5" hidden="0" customWidth="1"/>
    <x:col min="11" max="11" width="13.130000114440918" hidden="0" customWidth="1"/>
  </x:cols>
  <x:sheetData>
    <x:row r="2">
      <x:c r="A2" s="2" t="str">
        <x:v>业务测试用例与执行记录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0" customHeight="1">
      <x:c r="A4" s="6" t="str">
        <x:v>编号</x:v>
      </x:c>
      <x:c r="B4" s="6" t="str">
        <x:v>执行类别</x:v>
      </x:c>
      <x:c r="C4" s="6" t="str">
        <x:v>测试场景</x:v>
      </x:c>
      <x:c r="D4" s="6" t="str">
        <x:v>设计方法</x:v>
      </x:c>
      <x:c r="E4" s="6" t="str">
        <x:v>前置条件</x:v>
      </x:c>
      <x:c r="F4" s="6" t="str">
        <x:v>执行步骤</x:v>
      </x:c>
      <x:c r="G4" s="6" t="str">
        <x:v>预期结果</x:v>
      </x:c>
      <x:c r="H4" s="6" t="str">
        <x:v>实际结果</x:v>
      </x:c>
      <x:c r="I4" s="6" t="str">
        <x:v>状态</x:v>
      </x:c>
      <x:c r="J4" s="6" t="str">
        <x:v>执行证据</x:v>
      </x:c>
      <x:c r="K4" s="6" t="str">
        <x:v>缺陷编号</x:v>
      </x:c>
    </x:row>
    <x:row r="5" ht="34" customHeight="1">
      <x:c r="A5" s="8" t="str">
        <x:v>F001</x:v>
      </x:c>
      <x:c r="B5" s="8" t="str">
        <x:v>P0业务检查</x:v>
      </x:c>
      <x:c r="C5" s="8" t="str">
        <x:v>商品总数可查询</x:v>
      </x:c>
      <x:c r="D5" s="8" t="str">
        <x:v>正常等价类</x:v>
      </x:c>
      <x:c r="E5" s="8" t="str">
        <x:v>无需登录</x:v>
      </x:c>
      <x:c r="F5" s="8" t="str">
        <x:v>GET /wx/goods/count</x:v>
      </x:c>
      <x:c r="G5" s="8" t="str">
        <x:v>HTTP 200; errno=0; 在售商品数&gt;0</x:v>
      </x:c>
      <x:c r="H5" s="8" t="str">
        <x:v>断言全部成立</x:v>
      </x:c>
      <x:c r="I5" s="8" t="str">
        <x:v>通过</x:v>
      </x:c>
      <x:c r="J5" s="8" t="str">
        <x:v>evidence/p0-rerun/results.json; http.jsonl; sql.jsonl</x:v>
      </x:c>
      <x:c r="K5" s="8" t="str"/>
    </x:row>
    <x:row r="6" ht="34" customHeight="1">
      <x:c r="A6" s="8" t="str">
        <x:v>F002</x:v>
      </x:c>
      <x:c r="B6" s="8" t="str">
        <x:v>P0业务检查</x:v>
      </x:c>
      <x:c r="C6" s="8" t="str">
        <x:v>商品详情关联库存货品</x:v>
      </x:c>
      <x:c r="D6" s="8" t="str">
        <x:v>场景法</x:v>
      </x:c>
      <x:c r="E6" s="8" t="str">
        <x:v>数据库有在售货品</x:v>
      </x:c>
      <x:c r="F6" s="8" t="str">
        <x:v>GET /wx/goods/detail?id=&lt;goods_id&gt;</x:v>
      </x:c>
      <x:c r="G6" s="8" t="str">
        <x:v>返回商品ID与所选SQL商品一致</x:v>
      </x:c>
      <x:c r="H6" s="8" t="str">
        <x:v>断言全部成立</x:v>
      </x:c>
      <x:c r="I6" s="8" t="str">
        <x:v>通过</x:v>
      </x:c>
      <x:c r="J6" s="8" t="str">
        <x:v>evidence/p0-rerun/results.json; http.jsonl; sql.jsonl</x:v>
      </x:c>
      <x:c r="K6" s="8" t="str"/>
    </x:row>
    <x:row r="7" ht="34" customHeight="1">
      <x:c r="A7" s="8" t="str">
        <x:v>F003</x:v>
      </x:c>
      <x:c r="B7" s="8" t="str">
        <x:v>P0业务检查</x:v>
      </x:c>
      <x:c r="C7" s="8" t="str">
        <x:v>缺少登录参数被拒绝</x:v>
      </x:c>
      <x:c r="D7" s="8" t="str">
        <x:v>异常等价类</x:v>
      </x:c>
      <x:c r="E7" s="8" t="str">
        <x:v>无需登录</x:v>
      </x:c>
      <x:c r="F7" s="8" t="str">
        <x:v>POST /wx/auth/login; JSON={}</x:v>
      </x:c>
      <x:c r="G7" s="8" t="str">
        <x:v>HTTP 200; errno=401</x:v>
      </x:c>
      <x:c r="H7" s="8" t="str">
        <x:v>断言全部成立</x:v>
      </x:c>
      <x:c r="I7" s="8" t="str">
        <x:v>通过</x:v>
      </x:c>
      <x:c r="J7" s="8" t="str">
        <x:v>evidence/p0-rerun/results.json; http.jsonl; sql.jsonl</x:v>
      </x:c>
      <x:c r="K7" s="8" t="str"/>
    </x:row>
    <x:row r="8" ht="34" customHeight="1">
      <x:c r="A8" s="8" t="str">
        <x:v>F004</x:v>
      </x:c>
      <x:c r="B8" s="8" t="str">
        <x:v>P0业务检查</x:v>
      </x:c>
      <x:c r="C8" s="8" t="str">
        <x:v>不存在账号登录失败</x:v>
      </x:c>
      <x:c r="D8" s="8" t="str">
        <x:v>异常等价类</x:v>
      </x:c>
      <x:c r="E8" s="8" t="str">
        <x:v>账号不存在</x:v>
      </x:c>
      <x:c r="F8" s="8" t="str">
        <x:v>POST /wx/auth/login; username=qa_does_not_exist</x:v>
      </x:c>
      <x:c r="G8" s="8" t="str">
        <x:v>errno=700; 不返回登录Token</x:v>
      </x:c>
      <x:c r="H8" s="8" t="str">
        <x:v>断言全部成立</x:v>
      </x:c>
      <x:c r="I8" s="8" t="str">
        <x:v>通过</x:v>
      </x:c>
      <x:c r="J8" s="8" t="str">
        <x:v>evidence/p0-rerun/results.json; http.jsonl; sql.jsonl</x:v>
      </x:c>
      <x:c r="K8" s="8" t="str"/>
    </x:row>
    <x:row r="9" ht="34" customHeight="1">
      <x:c r="A9" s="8" t="str">
        <x:v>F005</x:v>
      </x:c>
      <x:c r="B9" s="8" t="str">
        <x:v>P0业务检查</x:v>
      </x:c>
      <x:c r="C9" s="8" t="str">
        <x:v>无 Token 不可查询购物车</x:v>
      </x:c>
      <x:c r="D9" s="8" t="str">
        <x:v>权限场景</x:v>
      </x:c>
      <x:c r="E9" s="8" t="str">
        <x:v>不携带Token</x:v>
      </x:c>
      <x:c r="F9" s="8" t="str">
        <x:v>GET /wx/cart/index</x:v>
      </x:c>
      <x:c r="G9" s="8" t="str">
        <x:v>errno=501</x:v>
      </x:c>
      <x:c r="H9" s="8" t="str">
        <x:v>断言全部成立</x:v>
      </x:c>
      <x:c r="I9" s="8" t="str">
        <x:v>通过</x:v>
      </x:c>
      <x:c r="J9" s="8" t="str">
        <x:v>evidence/p0-rerun/results.json; http.jsonl; sql.jsonl</x:v>
      </x:c>
      <x:c r="K9" s="8" t="str"/>
    </x:row>
    <x:row r="10" ht="34" customHeight="1">
      <x:c r="A10" s="8" t="str">
        <x:v>F006</x:v>
      </x:c>
      <x:c r="B10" s="8" t="str">
        <x:v>P0业务检查</x:v>
      </x:c>
      <x:c r="C10" s="8" t="str">
        <x:v>无效 Token 不可查询订单</x:v>
      </x:c>
      <x:c r="D10" s="8" t="str">
        <x:v>权限场景</x:v>
      </x:c>
      <x:c r="E10" s="8" t="str">
        <x:v>X-Litemall-Token=invalid-token</x:v>
      </x:c>
      <x:c r="F10" s="8" t="str">
        <x:v>GET /wx/order/list</x:v>
      </x:c>
      <x:c r="G10" s="8" t="str">
        <x:v>errno=501</x:v>
      </x:c>
      <x:c r="H10" s="8" t="str">
        <x:v>断言全部成立</x:v>
      </x:c>
      <x:c r="I10" s="8" t="str">
        <x:v>通过</x:v>
      </x:c>
      <x:c r="J10" s="8" t="str">
        <x:v>evidence/p0-rerun/results.json; http.jsonl; sql.jsonl</x:v>
      </x:c>
      <x:c r="K10" s="8" t="str"/>
    </x:row>
    <x:row r="11" ht="34" customHeight="1">
      <x:c r="A11" s="8" t="str">
        <x:v>F007</x:v>
      </x:c>
      <x:c r="B11" s="8" t="str">
        <x:v>P0业务检查</x:v>
      </x:c>
      <x:c r="C11" s="8" t="str">
        <x:v>注册必填校验</x:v>
      </x:c>
      <x:c r="D11" s="8" t="str">
        <x:v>异常等价类</x:v>
      </x:c>
      <x:c r="E11" s="8" t="str">
        <x:v>无需登录</x:v>
      </x:c>
      <x:c r="F11" s="8" t="str">
        <x:v>POST /wx/auth/register; JSON={}</x:v>
      </x:c>
      <x:c r="G11" s="8" t="str">
        <x:v>errno=401</x:v>
      </x:c>
      <x:c r="H11" s="8" t="str">
        <x:v>断言全部成立</x:v>
      </x:c>
      <x:c r="I11" s="8" t="str">
        <x:v>通过</x:v>
      </x:c>
      <x:c r="J11" s="8" t="str">
        <x:v>evidence/p0-rerun/results.json; http.jsonl; sql.jsonl</x:v>
      </x:c>
      <x:c r="K11" s="8" t="str"/>
    </x:row>
    <x:row r="12" ht="34" customHeight="1">
      <x:c r="A12" s="8" t="str">
        <x:v>F008</x:v>
      </x:c>
      <x:c r="B12" s="8" t="str">
        <x:v>P0业务检查</x:v>
      </x:c>
      <x:c r="C12" s="8" t="str">
        <x:v>短信验证码服务未启用</x:v>
      </x:c>
      <x:c r="D12" s="8" t="str">
        <x:v>环境场景</x:v>
      </x:c>
      <x:c r="E12" s="8" t="str">
        <x:v>短信服务关闭</x:v>
      </x:c>
      <x:c r="F12" s="8" t="str">
        <x:v>POST /wx/auth/regCaptcha; mobile=13800138000</x:v>
      </x:c>
      <x:c r="G12" s="8" t="str">
        <x:v>errno=701; 不发送真实短信</x:v>
      </x:c>
      <x:c r="H12" s="8" t="str">
        <x:v>断言全部成立</x:v>
      </x:c>
      <x:c r="I12" s="8" t="str">
        <x:v>通过</x:v>
      </x:c>
      <x:c r="J12" s="8" t="str">
        <x:v>evidence/p0-rerun/results.json; http.jsonl; sql.jsonl</x:v>
      </x:c>
      <x:c r="K12" s="8" t="str"/>
    </x:row>
    <x:row r="13" ht="34" customHeight="1">
      <x:c r="A13" s="8" t="str">
        <x:v>F009</x:v>
      </x:c>
      <x:c r="B13" s="8" t="str">
        <x:v>P0业务检查</x:v>
      </x:c>
      <x:c r="C13" s="8" t="str">
        <x:v>真实账号登录及 Token 提取</x:v>
      </x:c>
      <x:c r="D13" s="8" t="str">
        <x:v>正常场景</x:v>
      </x:c>
      <x:c r="E13" s="8" t="str">
        <x:v>SQL准备专用账号（不是成功注册）</x:v>
      </x:c>
      <x:c r="F13" s="8" t="str">
        <x:v>登录提取Token; GET /wx/cart/index</x:v>
      </x:c>
      <x:c r="G13" s="8" t="str">
        <x:v>errno=0; 空购物车; 登录有效</x:v>
      </x:c>
      <x:c r="H13" s="8" t="str">
        <x:v>断言全部成立</x:v>
      </x:c>
      <x:c r="I13" s="8" t="str">
        <x:v>通过</x:v>
      </x:c>
      <x:c r="J13" s="8" t="str">
        <x:v>evidence/p0-rerun/results.json; http.jsonl; sql.jsonl</x:v>
      </x:c>
      <x:c r="K13" s="8" t="str"/>
    </x:row>
    <x:row r="14" ht="34" customHeight="1">
      <x:c r="A14" s="8" t="str">
        <x:v>F010</x:v>
      </x:c>
      <x:c r="B14" s="8" t="str">
        <x:v>P0业务检查</x:v>
      </x:c>
      <x:c r="C14" s="8" t="str">
        <x:v>购物车数量零被拒绝</x:v>
      </x:c>
      <x:c r="D14" s="8" t="str">
        <x:v>边界值</x:v>
      </x:c>
      <x:c r="E14" s="8" t="str">
        <x:v>已登录且有在售货品</x:v>
      </x:c>
      <x:c r="F14" s="8" t="str">
        <x:v>POST /wx/cart/add; number=0</x:v>
      </x:c>
      <x:c r="G14" s="8" t="str">
        <x:v>errno=401; 不增加购物车</x:v>
      </x:c>
      <x:c r="H14" s="8" t="str">
        <x:v>断言全部成立</x:v>
      </x:c>
      <x:c r="I14" s="8" t="str">
        <x:v>通过</x:v>
      </x:c>
      <x:c r="J14" s="8" t="str">
        <x:v>evidence/p0-rerun/results.json; http.jsonl; sql.jsonl</x:v>
      </x:c>
      <x:c r="K14" s="8" t="str"/>
    </x:row>
    <x:row r="15" ht="34" customHeight="1">
      <x:c r="A15" s="8" t="str">
        <x:v>F011</x:v>
      </x:c>
      <x:c r="B15" s="8" t="str">
        <x:v>P0业务检查</x:v>
      </x:c>
      <x:c r="C15" s="8" t="str">
        <x:v>加入购物车不扣减库存</x:v>
      </x:c>
      <x:c r="D15" s="8" t="str">
        <x:v>场景法</x:v>
      </x:c>
      <x:c r="E15" s="8" t="str">
        <x:v>库存基线100</x:v>
      </x:c>
      <x:c r="F15" s="8" t="str">
        <x:v>POST /wx/cart/fastadd; number=2; SQL查库存</x:v>
      </x:c>
      <x:c r="G15" s="8" t="str">
        <x:v>购物车成功; 库存仍为100</x:v>
      </x:c>
      <x:c r="H15" s="8" t="str">
        <x:v>断言全部成立</x:v>
      </x:c>
      <x:c r="I15" s="8" t="str">
        <x:v>通过</x:v>
      </x:c>
      <x:c r="J15" s="8" t="str">
        <x:v>evidence/p0-rerun/results.json; http.jsonl; sql.jsonl</x:v>
      </x:c>
      <x:c r="K15" s="8" t="str"/>
    </x:row>
    <x:row r="16" ht="40" customHeight="1">
      <x:c r="A16" s="8" t="str">
        <x:v>F012</x:v>
      </x:c>
      <x:c r="B16" s="8" t="str">
        <x:v>P0业务检查</x:v>
      </x:c>
      <x:c r="C16" s="8" t="str">
        <x:v>购物车 SQL 数量正确</x:v>
      </x:c>
      <x:c r="D16" s="8" t="str">
        <x:v>数据库一致性</x:v>
      </x:c>
      <x:c r="E16" s="8" t="str">
        <x:v>上一步购物车已建立</x:v>
      </x:c>
      <x:c r="F16" s="8" t="str">
        <x:v>SQL SELECT number FROM litemall_cart WHERE id=&lt;cart_id&gt; AND user_id=&lt;uid&gt;</x:v>
      </x:c>
      <x:c r="G16" s="8" t="str">
        <x:v>number=2</x:v>
      </x:c>
      <x:c r="H16" s="8" t="str">
        <x:v>断言全部成立</x:v>
      </x:c>
      <x:c r="I16" s="8" t="str">
        <x:v>通过</x:v>
      </x:c>
      <x:c r="J16" s="8" t="str">
        <x:v>evidence/p0-rerun/results.json; http.jsonl; sql.jsonl</x:v>
      </x:c>
      <x:c r="K16" s="8" t="str"/>
    </x:row>
    <x:row r="17" ht="34" customHeight="1">
      <x:c r="A17" s="8" t="str">
        <x:v>F013</x:v>
      </x:c>
      <x:c r="B17" s="8" t="str">
        <x:v>P0业务检查</x:v>
      </x:c>
      <x:c r="C17" s="8" t="str">
        <x:v>下单生成待付款订单</x:v>
      </x:c>
      <x:c r="D17" s="8" t="str">
        <x:v>场景法</x:v>
      </x:c>
      <x:c r="E17" s="8" t="str">
        <x:v>本人购物车与有效地址</x:v>
      </x:c>
      <x:c r="F17" s="8" t="str">
        <x:v>POST /wx/order/submit; 关联cartId/addressId; couponId=0</x:v>
      </x:c>
      <x:c r="G17" s="8" t="str">
        <x:v>真实订单ID; SQL order_status=101</x:v>
      </x:c>
      <x:c r="H17" s="8" t="str">
        <x:v>断言全部成立</x:v>
      </x:c>
      <x:c r="I17" s="8" t="str">
        <x:v>通过</x:v>
      </x:c>
      <x:c r="J17" s="8" t="str">
        <x:v>evidence/p0-rerun/results.json; http.jsonl; sql.jsonl</x:v>
      </x:c>
      <x:c r="K17" s="8" t="str"/>
    </x:row>
    <x:row r="18" ht="34" customHeight="1">
      <x:c r="A18" s="8" t="str">
        <x:v>F014</x:v>
      </x:c>
      <x:c r="B18" s="8" t="str">
        <x:v>P0业务检查</x:v>
      </x:c>
      <x:c r="C18" s="8" t="str">
        <x:v>下单扣减库存</x:v>
      </x:c>
      <x:c r="D18" s="8" t="str">
        <x:v>数据库一致性</x:v>
      </x:c>
      <x:c r="E18" s="8" t="str">
        <x:v>订单刚创建</x:v>
      </x:c>
      <x:c r="F18" s="8" t="str">
        <x:v>SQL SELECT number FROM litemall_goods_product WHERE id=1</x:v>
      </x:c>
      <x:c r="G18" s="8" t="str">
        <x:v>库存100→98</x:v>
      </x:c>
      <x:c r="H18" s="8" t="str">
        <x:v>断言全部成立</x:v>
      </x:c>
      <x:c r="I18" s="8" t="str">
        <x:v>通过</x:v>
      </x:c>
      <x:c r="J18" s="8" t="str">
        <x:v>evidence/p0-rerun/results.json; http.jsonl; sql.jsonl</x:v>
      </x:c>
      <x:c r="K18" s="8" t="str"/>
    </x:row>
    <x:row r="19" ht="34" customHeight="1">
      <x:c r="A19" s="8" t="str">
        <x:v>F015</x:v>
      </x:c>
      <x:c r="B19" s="8" t="str">
        <x:v>P0业务检查</x:v>
      </x:c>
      <x:c r="C19" s="8" t="str">
        <x:v>订单详情与订单号关联</x:v>
      </x:c>
      <x:c r="D19" s="8" t="str">
        <x:v>接口关联</x:v>
      </x:c>
      <x:c r="E19" s="8" t="str">
        <x:v>本人新订单</x:v>
      </x:c>
      <x:c r="F19" s="8" t="str">
        <x:v>GET /wx/order/detail?orderId=&lt;order_id&gt;</x:v>
      </x:c>
      <x:c r="G19" s="8" t="str">
        <x:v>orderInfo.id匹配; 真实订单可查</x:v>
      </x:c>
      <x:c r="H19" s="8" t="str">
        <x:v>断言全部成立</x:v>
      </x:c>
      <x:c r="I19" s="8" t="str">
        <x:v>通过</x:v>
      </x:c>
      <x:c r="J19" s="8" t="str">
        <x:v>evidence/p0-rerun/results.json; http.jsonl; sql.jsonl</x:v>
      </x:c>
      <x:c r="K19" s="8" t="str"/>
    </x:row>
    <x:row r="20" ht="34" customHeight="1">
      <x:c r="A20" s="8" t="str">
        <x:v>F016</x:v>
      </x:c>
      <x:c r="B20" s="8" t="str">
        <x:v>P0业务检查</x:v>
      </x:c>
      <x:c r="C20" s="8" t="str">
        <x:v>取消订单状态变为102</x:v>
      </x:c>
      <x:c r="D20" s="8" t="str">
        <x:v>状态迁移</x:v>
      </x:c>
      <x:c r="E20" s="8" t="str">
        <x:v>订单为待付款101</x:v>
      </x:c>
      <x:c r="F20" s="8" t="str">
        <x:v>POST /wx/order/cancel; SQL查订单</x:v>
      </x:c>
      <x:c r="G20" s="8" t="str">
        <x:v>errno=0; order_status=102</x:v>
      </x:c>
      <x:c r="H20" s="8" t="str">
        <x:v>断言全部成立</x:v>
      </x:c>
      <x:c r="I20" s="8" t="str">
        <x:v>通过</x:v>
      </x:c>
      <x:c r="J20" s="8" t="str">
        <x:v>evidence/p0-rerun/results.json; http.jsonl; sql.jsonl</x:v>
      </x:c>
      <x:c r="K20" s="8" t="str"/>
    </x:row>
    <x:row r="21" ht="34" customHeight="1">
      <x:c r="A21" s="8" t="str">
        <x:v>F017</x:v>
      </x:c>
      <x:c r="B21" s="8" t="str">
        <x:v>P0业务检查</x:v>
      </x:c>
      <x:c r="C21" s="8" t="str">
        <x:v>取消恢复原库存</x:v>
      </x:c>
      <x:c r="D21" s="8" t="str">
        <x:v>数据库一致性</x:v>
      </x:c>
      <x:c r="E21" s="8" t="str">
        <x:v>订单已取消</x:v>
      </x:c>
      <x:c r="F21" s="8" t="str">
        <x:v>SQL查询货品库存</x:v>
      </x:c>
      <x:c r="G21" s="8" t="str">
        <x:v>库存98→100; 与初始值相等</x:v>
      </x:c>
      <x:c r="H21" s="8" t="str">
        <x:v>断言全部成立</x:v>
      </x:c>
      <x:c r="I21" s="8" t="str">
        <x:v>通过</x:v>
      </x:c>
      <x:c r="J21" s="8" t="str">
        <x:v>evidence/p0-rerun/results.json; http.jsonl; sql.jsonl</x:v>
      </x:c>
      <x:c r="K21" s="8" t="str"/>
    </x:row>
    <x:row r="22" ht="40" customHeight="1">
      <x:c r="A22" s="8" t="str">
        <x:v>T001</x:v>
      </x:c>
      <x:c r="B22" s="8" t="str">
        <x:v>pytest接口</x:v>
      </x:c>
      <x:c r="C22" s="8" t="str">
        <x:v>登录非法参数[empty-body]</x:v>
      </x:c>
      <x:c r="D22" s="8" t="str">
        <x:v>等价类、缺失与空字符串边界</x:v>
      </x:c>
      <x:c r="E22" s="8" t="str">
        <x:v>独立litemall_qa；每用例SQL创建专用用户；UI390×844 Chromium</x:v>
      </x:c>
      <x:c r="F22" s="8" t="str">
        <x:v>POST /wx/auth/login，使用参数化输入</x:v>
      </x:c>
      <x:c r="G22" s="8" t="str">
        <x:v>匹配401或700，HTTP与响应结构均断言</x:v>
      </x:c>
      <x:c r="H22" s="8" t="str">
        <x:v>明确业务/状态断言全部成立</x:v>
      </x:c>
      <x:c r="I22" s="8" t="str">
        <x:v>通过</x:v>
      </x:c>
      <x:c r="J22" s="8" t="str">
        <x:v>evidence/runs/20261008-150847-all/junit.xml; tests.api.test_business::test_login_invalid[empty-body]</x:v>
      </x:c>
      <x:c r="K22" s="8" t="str"/>
    </x:row>
    <x:row r="23" ht="40" customHeight="1">
      <x:c r="A23" s="8" t="str">
        <x:v>T002</x:v>
      </x:c>
      <x:c r="B23" s="8" t="str">
        <x:v>pytest接口</x:v>
      </x:c>
      <x:c r="C23" s="8" t="str">
        <x:v>登录非法参数[missing-password]</x:v>
      </x:c>
      <x:c r="D23" s="8" t="str">
        <x:v>等价类、缺失与空字符串边界</x:v>
      </x:c>
      <x:c r="E23" s="8" t="str">
        <x:v>独立litemall_qa；每用例SQL创建专用用户；UI390×844 Chromium</x:v>
      </x:c>
      <x:c r="F23" s="8" t="str">
        <x:v>POST /wx/auth/login，使用参数化输入</x:v>
      </x:c>
      <x:c r="G23" s="8" t="str">
        <x:v>匹配401或700，HTTP与响应结构均断言</x:v>
      </x:c>
      <x:c r="H23" s="8" t="str">
        <x:v>明确业务/状态断言全部成立</x:v>
      </x:c>
      <x:c r="I23" s="8" t="str">
        <x:v>通过</x:v>
      </x:c>
      <x:c r="J23" s="8" t="str">
        <x:v>evidence/runs/20261008-150847-all/junit.xml; tests.api.test_business::test_login_invalid[missing-password]</x:v>
      </x:c>
      <x:c r="K23" s="8" t="str"/>
    </x:row>
    <x:row r="24" ht="40" customHeight="1">
      <x:c r="A24" s="8" t="str">
        <x:v>T003</x:v>
      </x:c>
      <x:c r="B24" s="8" t="str">
        <x:v>pytest接口</x:v>
      </x:c>
      <x:c r="C24" s="8" t="str">
        <x:v>登录非法参数[missing-username]</x:v>
      </x:c>
      <x:c r="D24" s="8" t="str">
        <x:v>等价类、缺失与空字符串边界</x:v>
      </x:c>
      <x:c r="E24" s="8" t="str">
        <x:v>独立litemall_qa；每用例SQL创建专用用户；UI390×844 Chromium</x:v>
      </x:c>
      <x:c r="F24" s="8" t="str">
        <x:v>POST /wx/auth/login，使用参数化输入</x:v>
      </x:c>
      <x:c r="G24" s="8" t="str">
        <x:v>匹配401或700，HTTP与响应结构均断言</x:v>
      </x:c>
      <x:c r="H24" s="8" t="str">
        <x:v>明确业务/状态断言全部成立</x:v>
      </x:c>
      <x:c r="I24" s="8" t="str">
        <x:v>通过</x:v>
      </x:c>
      <x:c r="J24" s="8" t="str">
        <x:v>evidence/runs/20261008-150847-all/junit.xml; tests.api.test_business::test_login_invalid[missing-username]</x:v>
      </x:c>
      <x:c r="K24" s="8" t="str"/>
    </x:row>
    <x:row r="25" ht="40" customHeight="1">
      <x:c r="A25" s="8" t="str">
        <x:v>T004</x:v>
      </x:c>
      <x:c r="B25" s="8" t="str">
        <x:v>pytest接口</x:v>
      </x:c>
      <x:c r="C25" s="8" t="str">
        <x:v>登录非法参数[empty-strings]</x:v>
      </x:c>
      <x:c r="D25" s="8" t="str">
        <x:v>等价类、缺失与空字符串边界</x:v>
      </x:c>
      <x:c r="E25" s="8" t="str">
        <x:v>独立litemall_qa；每用例SQL创建专用用户；UI390×844 Chromium</x:v>
      </x:c>
      <x:c r="F25" s="8" t="str">
        <x:v>POST /wx/auth/login，使用参数化输入</x:v>
      </x:c>
      <x:c r="G25" s="8" t="str">
        <x:v>匹配401或700，HTTP与响应结构均断言</x:v>
      </x:c>
      <x:c r="H25" s="8" t="str">
        <x:v>明确业务/状态断言全部成立</x:v>
      </x:c>
      <x:c r="I25" s="8" t="str">
        <x:v>通过</x:v>
      </x:c>
      <x:c r="J25" s="8" t="str">
        <x:v>evidence/runs/20261008-150847-all/junit.xml; tests.api.test_business::test_login_invalid[empty-strings]</x:v>
      </x:c>
      <x:c r="K25" s="8" t="str"/>
    </x:row>
    <x:row r="26" ht="40" customHeight="1">
      <x:c r="A26" s="8" t="str">
        <x:v>T005</x:v>
      </x:c>
      <x:c r="B26" s="8" t="str">
        <x:v>pytest接口</x:v>
      </x:c>
      <x:c r="C26" s="8" t="str">
        <x:v>登录非法参数[unknown-user]</x:v>
      </x:c>
      <x:c r="D26" s="8" t="str">
        <x:v>等价类、缺失与空字符串边界</x:v>
      </x:c>
      <x:c r="E26" s="8" t="str">
        <x:v>独立litemall_qa；每用例SQL创建专用用户；UI390×844 Chromium</x:v>
      </x:c>
      <x:c r="F26" s="8" t="str">
        <x:v>POST /wx/auth/login，使用参数化输入</x:v>
      </x:c>
      <x:c r="G26" s="8" t="str">
        <x:v>匹配401或700，HTTP与响应结构均断言</x:v>
      </x:c>
      <x:c r="H26" s="8" t="str">
        <x:v>明确业务/状态断言全部成立</x:v>
      </x:c>
      <x:c r="I26" s="8" t="str">
        <x:v>通过</x:v>
      </x:c>
      <x:c r="J26" s="8" t="str">
        <x:v>evidence/runs/20261008-150847-all/junit.xml; tests.api.test_business::test_login_invalid[unknown-user]</x:v>
      </x:c>
      <x:c r="K26" s="8" t="str"/>
    </x:row>
    <x:row r="27" ht="40" customHeight="1">
      <x:c r="A27" s="8" t="str">
        <x:v>T006</x:v>
      </x:c>
      <x:c r="B27" s="8" t="str">
        <x:v>pytest接口</x:v>
      </x:c>
      <x:c r="C27" s="8" t="str">
        <x:v>错误密码拒绝登录</x:v>
      </x:c>
      <x:c r="D27" s="8" t="str">
        <x:v>异常等价类</x:v>
      </x:c>
      <x:c r="E27" s="8" t="str">
        <x:v>独立litemall_qa；每用例SQL创建专用用户；UI390×844 Chromium</x:v>
      </x:c>
      <x:c r="F27" s="8" t="str">
        <x:v>真实账号+错误密码请求登录</x:v>
      </x:c>
      <x:c r="G27" s="8" t="str">
        <x:v>errno=700</x:v>
      </x:c>
      <x:c r="H27" s="8" t="str">
        <x:v>明确业务/状态断言全部成立</x:v>
      </x:c>
      <x:c r="I27" s="8" t="str">
        <x:v>通过</x:v>
      </x:c>
      <x:c r="J27" s="8" t="str">
        <x:v>evidence/runs/20261008-150847-all/junit.xml; tests.api.test_business::test_login_wrong_password</x:v>
      </x:c>
      <x:c r="K27" s="8" t="str"/>
    </x:row>
    <x:row r="28" ht="40" customHeight="1">
      <x:c r="A28" s="8" t="str">
        <x:v>T007</x:v>
      </x:c>
      <x:c r="B28" s="8" t="str">
        <x:v>pytest接口</x:v>
      </x:c>
      <x:c r="C28" s="8" t="str">
        <x:v>登录Token及登录时间</x:v>
      </x:c>
      <x:c r="D28" s="8" t="str">
        <x:v>场景法、SQL核对</x:v>
      </x:c>
      <x:c r="E28" s="8" t="str">
        <x:v>独立litemall_qa；每用例SQL创建专用用户；UI390×844 Chromium</x:v>
      </x:c>
      <x:c r="F28" s="8" t="str">
        <x:v>fixture登录; 携带Token查购物车; SQL查登录时间</x:v>
      </x:c>
      <x:c r="G28" s="8" t="str">
        <x:v>空购物车; last_login_time非空</x:v>
      </x:c>
      <x:c r="H28" s="8" t="str">
        <x:v>明确业务/状态断言全部成立</x:v>
      </x:c>
      <x:c r="I28" s="8" t="str">
        <x:v>通过</x:v>
      </x:c>
      <x:c r="J28" s="8" t="str">
        <x:v>evidence/runs/20261008-150847-all/junit.xml; tests.api.test_business::test_login_success_and_token</x:v>
      </x:c>
      <x:c r="K28" s="8" t="str"/>
    </x:row>
    <x:row r="29" ht="40" customHeight="1">
      <x:c r="A29" s="8" t="str">
        <x:v>T008</x:v>
      </x:c>
      <x:c r="B29" s="8" t="str">
        <x:v>pytest接口</x:v>
      </x:c>
      <x:c r="C29" s="8" t="str">
        <x:v>匿名与伪造Token鉴权[no-token-/wx/cart/index]</x:v>
      </x:c>
      <x:c r="D29" s="8" t="str">
        <x:v>权限等价类</x:v>
      </x:c>
      <x:c r="E29" s="8" t="str">
        <x:v>独立litemall_qa；每用例SQL创建专用用户；UI390×844 Chromium</x:v>
      </x:c>
      <x:c r="F29" s="8" t="str">
        <x:v>对购物车/订单/地址发无Token或伪造Token请求</x:v>
      </x:c>
      <x:c r="G29" s="8" t="str">
        <x:v>全部errno=501</x:v>
      </x:c>
      <x:c r="H29" s="8" t="str">
        <x:v>明确业务/状态断言全部成立</x:v>
      </x:c>
      <x:c r="I29" s="8" t="str">
        <x:v>通过</x:v>
      </x:c>
      <x:c r="J29" s="8" t="str">
        <x:v>evidence/runs/20261008-150847-all/junit.xml; tests.api.test_business::test_token_required[no-token-/wx/cart/index]</x:v>
      </x:c>
      <x:c r="K29" s="8" t="str"/>
    </x:row>
    <x:row r="30" ht="40" customHeight="1">
      <x:c r="A30" s="8" t="str">
        <x:v>T009</x:v>
      </x:c>
      <x:c r="B30" s="8" t="str">
        <x:v>pytest接口</x:v>
      </x:c>
      <x:c r="C30" s="8" t="str">
        <x:v>匿名与伪造Token鉴权[no-token-/wx/order/list]</x:v>
      </x:c>
      <x:c r="D30" s="8" t="str">
        <x:v>权限等价类</x:v>
      </x:c>
      <x:c r="E30" s="8" t="str">
        <x:v>独立litemall_qa；每用例SQL创建专用用户；UI390×844 Chromium</x:v>
      </x:c>
      <x:c r="F30" s="8" t="str">
        <x:v>对购物车/订单/地址发无Token或伪造Token请求</x:v>
      </x:c>
      <x:c r="G30" s="8" t="str">
        <x:v>全部errno=501</x:v>
      </x:c>
      <x:c r="H30" s="8" t="str">
        <x:v>明确业务/状态断言全部成立</x:v>
      </x:c>
      <x:c r="I30" s="8" t="str">
        <x:v>通过</x:v>
      </x:c>
      <x:c r="J30" s="8" t="str">
        <x:v>evidence/runs/20261008-150847-all/junit.xml; tests.api.test_business::test_token_required[no-token-/wx/order/list]</x:v>
      </x:c>
      <x:c r="K30" s="8" t="str"/>
    </x:row>
    <x:row r="31" ht="40" customHeight="1">
      <x:c r="A31" s="8" t="str">
        <x:v>T010</x:v>
      </x:c>
      <x:c r="B31" s="8" t="str">
        <x:v>pytest接口</x:v>
      </x:c>
      <x:c r="C31" s="8" t="str">
        <x:v>匿名与伪造Token鉴权[no-token-/wx/address/list]</x:v>
      </x:c>
      <x:c r="D31" s="8" t="str">
        <x:v>权限等价类</x:v>
      </x:c>
      <x:c r="E31" s="8" t="str">
        <x:v>独立litemall_qa；每用例SQL创建专用用户；UI390×844 Chromium</x:v>
      </x:c>
      <x:c r="F31" s="8" t="str">
        <x:v>对购物车/订单/地址发无Token或伪造Token请求</x:v>
      </x:c>
      <x:c r="G31" s="8" t="str">
        <x:v>全部errno=501</x:v>
      </x:c>
      <x:c r="H31" s="8" t="str">
        <x:v>明确业务/状态断言全部成立</x:v>
      </x:c>
      <x:c r="I31" s="8" t="str">
        <x:v>通过</x:v>
      </x:c>
      <x:c r="J31" s="8" t="str">
        <x:v>evidence/runs/20261008-150847-all/junit.xml; tests.api.test_business::test_token_required[no-token-/wx/address/list]</x:v>
      </x:c>
      <x:c r="K31" s="8" t="str"/>
    </x:row>
    <x:row r="32" ht="40" customHeight="1">
      <x:c r="A32" s="8" t="str">
        <x:v>T011</x:v>
      </x:c>
      <x:c r="B32" s="8" t="str">
        <x:v>pytest接口</x:v>
      </x:c>
      <x:c r="C32" s="8" t="str">
        <x:v>匿名与伪造Token鉴权[invalid-token-/wx/cart/index]</x:v>
      </x:c>
      <x:c r="D32" s="8" t="str">
        <x:v>权限等价类</x:v>
      </x:c>
      <x:c r="E32" s="8" t="str">
        <x:v>独立litemall_qa；每用例SQL创建专用用户；UI390×844 Chromium</x:v>
      </x:c>
      <x:c r="F32" s="8" t="str">
        <x:v>对购物车/订单/地址发无Token或伪造Token请求</x:v>
      </x:c>
      <x:c r="G32" s="8" t="str">
        <x:v>全部errno=501</x:v>
      </x:c>
      <x:c r="H32" s="8" t="str">
        <x:v>明确业务/状态断言全部成立</x:v>
      </x:c>
      <x:c r="I32" s="8" t="str">
        <x:v>通过</x:v>
      </x:c>
      <x:c r="J32" s="8" t="str">
        <x:v>evidence/runs/20261008-150847-all/junit.xml; tests.api.test_business::test_token_required[invalid-token-/wx/cart/index]</x:v>
      </x:c>
      <x:c r="K32" s="8" t="str"/>
    </x:row>
    <x:row r="33" ht="40" customHeight="1">
      <x:c r="A33" s="8" t="str">
        <x:v>T012</x:v>
      </x:c>
      <x:c r="B33" s="8" t="str">
        <x:v>pytest接口</x:v>
      </x:c>
      <x:c r="C33" s="8" t="str">
        <x:v>匿名与伪造Token鉴权[invalid-token-/wx/order/list]</x:v>
      </x:c>
      <x:c r="D33" s="8" t="str">
        <x:v>权限等价类</x:v>
      </x:c>
      <x:c r="E33" s="8" t="str">
        <x:v>独立litemall_qa；每用例SQL创建专用用户；UI390×844 Chromium</x:v>
      </x:c>
      <x:c r="F33" s="8" t="str">
        <x:v>对购物车/订单/地址发无Token或伪造Token请求</x:v>
      </x:c>
      <x:c r="G33" s="8" t="str">
        <x:v>全部errno=501</x:v>
      </x:c>
      <x:c r="H33" s="8" t="str">
        <x:v>明确业务/状态断言全部成立</x:v>
      </x:c>
      <x:c r="I33" s="8" t="str">
        <x:v>通过</x:v>
      </x:c>
      <x:c r="J33" s="8" t="str">
        <x:v>evidence/runs/20261008-150847-all/junit.xml; tests.api.test_business::test_token_required[invalid-token-/wx/order/list]</x:v>
      </x:c>
      <x:c r="K33" s="8" t="str"/>
    </x:row>
    <x:row r="34" ht="40" customHeight="1">
      <x:c r="A34" s="8" t="str">
        <x:v>T013</x:v>
      </x:c>
      <x:c r="B34" s="8" t="str">
        <x:v>pytest接口</x:v>
      </x:c>
      <x:c r="C34" s="8" t="str">
        <x:v>匿名与伪造Token鉴权[invalid-token-/wx/address/list]</x:v>
      </x:c>
      <x:c r="D34" s="8" t="str">
        <x:v>权限等价类</x:v>
      </x:c>
      <x:c r="E34" s="8" t="str">
        <x:v>独立litemall_qa；每用例SQL创建专用用户；UI390×844 Chromium</x:v>
      </x:c>
      <x:c r="F34" s="8" t="str">
        <x:v>对购物车/订单/地址发无Token或伪造Token请求</x:v>
      </x:c>
      <x:c r="G34" s="8" t="str">
        <x:v>全部errno=501</x:v>
      </x:c>
      <x:c r="H34" s="8" t="str">
        <x:v>明确业务/状态断言全部成立</x:v>
      </x:c>
      <x:c r="I34" s="8" t="str">
        <x:v>通过</x:v>
      </x:c>
      <x:c r="J34" s="8" t="str">
        <x:v>evidence/runs/20261008-150847-all/junit.xml; tests.api.test_business::test_token_required[invalid-token-/wx/address/list]</x:v>
      </x:c>
      <x:c r="K34" s="8" t="str"/>
    </x:row>
    <x:row r="35" ht="40" customHeight="1">
      <x:c r="A35" s="8" t="str">
        <x:v>T014</x:v>
      </x:c>
      <x:c r="B35" s="8" t="str">
        <x:v>pytest接口</x:v>
      </x:c>
      <x:c r="C35" s="8" t="str">
        <x:v>注册必填、手机号、验证码校验[required-fields]</x:v>
      </x:c>
      <x:c r="D35" s="8" t="str">
        <x:v>异常等价类</x:v>
      </x:c>
      <x:c r="E35" s="8" t="str">
        <x:v>独立litemall_qa；每用例SQL创建专用用户；UI390×844 Chromium</x:v>
      </x:c>
      <x:c r="F35" s="8" t="str">
        <x:v>请求缺字段、非法手机号或错误验证码</x:v>
      </x:c>
      <x:c r="G35" s="8" t="str">
        <x:v>分别errno=401/707/703</x:v>
      </x:c>
      <x:c r="H35" s="8" t="str">
        <x:v>明确业务/状态断言全部成立</x:v>
      </x:c>
      <x:c r="I35" s="8" t="str">
        <x:v>通过</x:v>
      </x:c>
      <x:c r="J35" s="8" t="str">
        <x:v>evidence/runs/20261008-150847-all/junit.xml; tests.api.test_business::test_register_negative[required-fields]</x:v>
      </x:c>
      <x:c r="K35" s="8" t="str"/>
    </x:row>
    <x:row r="36" ht="40" customHeight="1">
      <x:c r="A36" s="8" t="str">
        <x:v>T015</x:v>
      </x:c>
      <x:c r="B36" s="8" t="str">
        <x:v>pytest接口</x:v>
      </x:c>
      <x:c r="C36" s="8" t="str">
        <x:v>注册必填、手机号、验证码校验[invalid-mobile]</x:v>
      </x:c>
      <x:c r="D36" s="8" t="str">
        <x:v>异常等价类</x:v>
      </x:c>
      <x:c r="E36" s="8" t="str">
        <x:v>独立litemall_qa；每用例SQL创建专用用户；UI390×844 Chromium</x:v>
      </x:c>
      <x:c r="F36" s="8" t="str">
        <x:v>请求缺字段、非法手机号或错误验证码</x:v>
      </x:c>
      <x:c r="G36" s="8" t="str">
        <x:v>分别errno=401/707/703</x:v>
      </x:c>
      <x:c r="H36" s="8" t="str">
        <x:v>明确业务/状态断言全部成立</x:v>
      </x:c>
      <x:c r="I36" s="8" t="str">
        <x:v>通过</x:v>
      </x:c>
      <x:c r="J36" s="8" t="str">
        <x:v>evidence/runs/20261008-150847-all/junit.xml; tests.api.test_business::test_register_negative[invalid-mobile]</x:v>
      </x:c>
      <x:c r="K36" s="8" t="str"/>
    </x:row>
    <x:row r="37" ht="40" customHeight="1">
      <x:c r="A37" s="8" t="str">
        <x:v>T016</x:v>
      </x:c>
      <x:c r="B37" s="8" t="str">
        <x:v>pytest接口</x:v>
      </x:c>
      <x:c r="C37" s="8" t="str">
        <x:v>注册必填、手机号、验证码校验[incorrect-code]</x:v>
      </x:c>
      <x:c r="D37" s="8" t="str">
        <x:v>异常等价类</x:v>
      </x:c>
      <x:c r="E37" s="8" t="str">
        <x:v>独立litemall_qa；每用例SQL创建专用用户；UI390×844 Chromium</x:v>
      </x:c>
      <x:c r="F37" s="8" t="str">
        <x:v>请求缺字段、非法手机号或错误验证码</x:v>
      </x:c>
      <x:c r="G37" s="8" t="str">
        <x:v>分别errno=401/707/703</x:v>
      </x:c>
      <x:c r="H37" s="8" t="str">
        <x:v>明确业务/状态断言全部成立</x:v>
      </x:c>
      <x:c r="I37" s="8" t="str">
        <x:v>通过</x:v>
      </x:c>
      <x:c r="J37" s="8" t="str">
        <x:v>evidence/runs/20261008-150847-all/junit.xml; tests.api.test_business::test_register_negative[incorrect-code]</x:v>
      </x:c>
      <x:c r="K37" s="8" t="str"/>
    </x:row>
    <x:row r="38" ht="40" customHeight="1">
      <x:c r="A38" s="8" t="str">
        <x:v>T017</x:v>
      </x:c>
      <x:c r="B38" s="8" t="str">
        <x:v>pytest接口</x:v>
      </x:c>
      <x:c r="C38" s="8" t="str">
        <x:v>注册短信依赖状态</x:v>
      </x:c>
      <x:c r="D38" s="8" t="str">
        <x:v>环境场景</x:v>
      </x:c>
      <x:c r="E38" s="8" t="str">
        <x:v>独立litemall_qa；每用例SQL创建专用用户；UI390×844 Chromium</x:v>
      </x:c>
      <x:c r="F38" s="8" t="str">
        <x:v>regCaptcha请求合法测试手机号</x:v>
      </x:c>
      <x:c r="G38" s="8" t="str">
        <x:v>errno=701，记录成功注册受阻</x:v>
      </x:c>
      <x:c r="H38" s="8" t="str">
        <x:v>明确业务/状态断言全部成立</x:v>
      </x:c>
      <x:c r="I38" s="8" t="str">
        <x:v>通过</x:v>
      </x:c>
      <x:c r="J38" s="8" t="str">
        <x:v>evidence/runs/20261008-150847-all/junit.xml; tests.api.test_business::test_sms_service_disabled</x:v>
      </x:c>
      <x:c r="K38" s="8" t="str"/>
    </x:row>
    <x:row r="39" ht="40" customHeight="1">
      <x:c r="A39" s="8" t="str">
        <x:v>T018</x:v>
      </x:c>
      <x:c r="B39" s="8" t="str">
        <x:v>pytest接口</x:v>
      </x:c>
      <x:c r="C39" s="8" t="str">
        <x:v>商品分页大小1、2、10[min-one]</x:v>
      </x:c>
      <x:c r="D39" s="8" t="str">
        <x:v>边界值与正常等价类</x:v>
      </x:c>
      <x:c r="E39" s="8" t="str">
        <x:v>独立litemall_qa；每用例SQL创建专用用户；UI390×844 Chromium</x:v>
      </x:c>
      <x:c r="F39" s="8" t="str">
        <x:v>GET goods/list; page=1; limit取参数</x:v>
      </x:c>
      <x:c r="G39" s="8" t="str">
        <x:v>非空列表数量≤limit; total合理; ID与价格类型正确</x:v>
      </x:c>
      <x:c r="H39" s="8" t="str">
        <x:v>明确业务/状态断言全部成立</x:v>
      </x:c>
      <x:c r="I39" s="8" t="str">
        <x:v>通过</x:v>
      </x:c>
      <x:c r="J39" s="8" t="str">
        <x:v>evidence/runs/20261008-150847-all/junit.xml; tests.api.test_business::test_goods_list_limits[min-one]</x:v>
      </x:c>
      <x:c r="K39" s="8" t="str"/>
    </x:row>
    <x:row r="40" ht="40" customHeight="1">
      <x:c r="A40" s="8" t="str">
        <x:v>T019</x:v>
      </x:c>
      <x:c r="B40" s="8" t="str">
        <x:v>pytest接口</x:v>
      </x:c>
      <x:c r="C40" s="8" t="str">
        <x:v>商品分页大小1、2、10[two]</x:v>
      </x:c>
      <x:c r="D40" s="8" t="str">
        <x:v>边界值与正常等价类</x:v>
      </x:c>
      <x:c r="E40" s="8" t="str">
        <x:v>独立litemall_qa；每用例SQL创建专用用户；UI390×844 Chromium</x:v>
      </x:c>
      <x:c r="F40" s="8" t="str">
        <x:v>GET goods/list; page=1; limit取参数</x:v>
      </x:c>
      <x:c r="G40" s="8" t="str">
        <x:v>非空列表数量≤limit; total合理; ID与价格类型正确</x:v>
      </x:c>
      <x:c r="H40" s="8" t="str">
        <x:v>明确业务/状态断言全部成立</x:v>
      </x:c>
      <x:c r="I40" s="8" t="str">
        <x:v>通过</x:v>
      </x:c>
      <x:c r="J40" s="8" t="str">
        <x:v>evidence/runs/20261008-150847-all/junit.xml; tests.api.test_business::test_goods_list_limits[two]</x:v>
      </x:c>
      <x:c r="K40" s="8" t="str"/>
    </x:row>
    <x:row r="41" ht="40" customHeight="1">
      <x:c r="A41" s="8" t="str">
        <x:v>T020</x:v>
      </x:c>
      <x:c r="B41" s="8" t="str">
        <x:v>pytest接口</x:v>
      </x:c>
      <x:c r="C41" s="8" t="str">
        <x:v>商品分页大小1、2、10[default-ten]</x:v>
      </x:c>
      <x:c r="D41" s="8" t="str">
        <x:v>边界值与正常等价类</x:v>
      </x:c>
      <x:c r="E41" s="8" t="str">
        <x:v>独立litemall_qa；每用例SQL创建专用用户；UI390×844 Chromium</x:v>
      </x:c>
      <x:c r="F41" s="8" t="str">
        <x:v>GET goods/list; page=1; limit取参数</x:v>
      </x:c>
      <x:c r="G41" s="8" t="str">
        <x:v>非空列表数量≤limit; total合理; ID与价格类型正确</x:v>
      </x:c>
      <x:c r="H41" s="8" t="str">
        <x:v>明确业务/状态断言全部成立</x:v>
      </x:c>
      <x:c r="I41" s="8" t="str">
        <x:v>通过</x:v>
      </x:c>
      <x:c r="J41" s="8" t="str">
        <x:v>evidence/runs/20261008-150847-all/junit.xml; tests.api.test_business::test_goods_list_limits[default-ten]</x:v>
      </x:c>
      <x:c r="K41" s="8" t="str"/>
    </x:row>
    <x:row r="42" ht="40" customHeight="1">
      <x:c r="A42" s="8" t="str">
        <x:v>T021</x:v>
      </x:c>
      <x:c r="B42" s="8" t="str">
        <x:v>pytest接口</x:v>
      </x:c>
      <x:c r="C42" s="8" t="str">
        <x:v>商品详情与货品SQL一致</x:v>
      </x:c>
      <x:c r="D42" s="8" t="str">
        <x:v>数据库一致性</x:v>
      </x:c>
      <x:c r="E42" s="8" t="str">
        <x:v>独立litemall_qa；每用例SQL创建专用用户；UI390×844 Chromium</x:v>
      </x:c>
      <x:c r="F42" s="8" t="str">
        <x:v>GET商品详情; SQL查询该货品库存和价格</x:v>
      </x:c>
      <x:c r="G42" s="8" t="str">
        <x:v>名称/ID/库存/价格均与SQL一致</x:v>
      </x:c>
      <x:c r="H42" s="8" t="str">
        <x:v>明确业务/状态断言全部成立</x:v>
      </x:c>
      <x:c r="I42" s="8" t="str">
        <x:v>通过</x:v>
      </x:c>
      <x:c r="J42" s="8" t="str">
        <x:v>evidence/runs/20261008-150847-all/junit.xml; tests.api.test_business::test_goods_detail_sql_consistency</x:v>
      </x:c>
      <x:c r="K42" s="8" t="str"/>
    </x:row>
    <x:row r="43" ht="40" customHeight="1">
      <x:c r="A43" s="8" t="str">
        <x:v>T022</x:v>
      </x:c>
      <x:c r="B43" s="8" t="str">
        <x:v>pytest接口</x:v>
      </x:c>
      <x:c r="C43" s="8" t="str">
        <x:v>商品名称搜索</x:v>
      </x:c>
      <x:c r="D43" s="8" t="str">
        <x:v>正常等价类</x:v>
      </x:c>
      <x:c r="E43" s="8" t="str">
        <x:v>独立litemall_qa；每用例SQL创建专用用户；UI390×844 Chromium</x:v>
      </x:c>
      <x:c r="F43" s="8" t="str">
        <x:v>以SQL中的实际商品名搜索</x:v>
      </x:c>
      <x:c r="G43" s="8" t="str">
        <x:v>结果包含目标商品ID</x:v>
      </x:c>
      <x:c r="H43" s="8" t="str">
        <x:v>明确业务/状态断言全部成立</x:v>
      </x:c>
      <x:c r="I43" s="8" t="str">
        <x:v>通过</x:v>
      </x:c>
      <x:c r="J43" s="8" t="str">
        <x:v>evidence/runs/20261008-150847-all/junit.xml; tests.api.test_business::test_goods_search</x:v>
      </x:c>
      <x:c r="K43" s="8" t="str"/>
    </x:row>
    <x:row r="44" ht="40" customHeight="1">
      <x:c r="A44" s="8" t="str">
        <x:v>T023</x:v>
      </x:c>
      <x:c r="B44" s="8" t="str">
        <x:v>pytest接口</x:v>
      </x:c>
      <x:c r="C44" s="8" t="str">
        <x:v>购物车数量-1、0[-1]</x:v>
      </x:c>
      <x:c r="D44" s="8" t="str">
        <x:v>边界值</x:v>
      </x:c>
      <x:c r="E44" s="8" t="str">
        <x:v>独立litemall_qa；每用例SQL创建专用用户；UI390×844 Chromium</x:v>
      </x:c>
      <x:c r="F44" s="8" t="str">
        <x:v>POST cart/add; number=-1或0</x:v>
      </x:c>
      <x:c r="G44" s="8" t="str">
        <x:v>errno=401且购物车为空</x:v>
      </x:c>
      <x:c r="H44" s="8" t="str">
        <x:v>明确业务/状态断言全部成立</x:v>
      </x:c>
      <x:c r="I44" s="8" t="str">
        <x:v>通过</x:v>
      </x:c>
      <x:c r="J44" s="8" t="str">
        <x:v>evidence/runs/20261008-150847-all/junit.xml; tests.api.test_business::test_cart_invalid_quantity[-1]</x:v>
      </x:c>
      <x:c r="K44" s="8" t="str"/>
    </x:row>
    <x:row r="45" ht="40" customHeight="1">
      <x:c r="A45" s="8" t="str">
        <x:v>T024</x:v>
      </x:c>
      <x:c r="B45" s="8" t="str">
        <x:v>pytest接口</x:v>
      </x:c>
      <x:c r="C45" s="8" t="str">
        <x:v>购物车数量-1、0[0]</x:v>
      </x:c>
      <x:c r="D45" s="8" t="str">
        <x:v>边界值</x:v>
      </x:c>
      <x:c r="E45" s="8" t="str">
        <x:v>独立litemall_qa；每用例SQL创建专用用户；UI390×844 Chromium</x:v>
      </x:c>
      <x:c r="F45" s="8" t="str">
        <x:v>POST cart/add; number=-1或0</x:v>
      </x:c>
      <x:c r="G45" s="8" t="str">
        <x:v>errno=401且购物车为空</x:v>
      </x:c>
      <x:c r="H45" s="8" t="str">
        <x:v>明确业务/状态断言全部成立</x:v>
      </x:c>
      <x:c r="I45" s="8" t="str">
        <x:v>通过</x:v>
      </x:c>
      <x:c r="J45" s="8" t="str">
        <x:v>evidence/runs/20261008-150847-all/junit.xml; tests.api.test_business::test_cart_invalid_quantity[0]</x:v>
      </x:c>
      <x:c r="K45" s="8" t="str"/>
    </x:row>
    <x:row r="46" ht="40" customHeight="1">
      <x:c r="A46" s="8" t="str">
        <x:v>T025</x:v>
      </x:c>
      <x:c r="B46" s="8" t="str">
        <x:v>pytest接口</x:v>
      </x:c>
      <x:c r="C46" s="8" t="str">
        <x:v>数量超过库存</x:v>
      </x:c>
      <x:c r="D46" s="8" t="str">
        <x:v>上边界值</x:v>
      </x:c>
      <x:c r="E46" s="8" t="str">
        <x:v>独立litemall_qa；每用例SQL创建专用用户；UI390×844 Chromium</x:v>
      </x:c>
      <x:c r="F46" s="8" t="str">
        <x:v>POST cart/add; number=当前库存+1</x:v>
      </x:c>
      <x:c r="G46" s="8" t="str">
        <x:v>errno=711且库存不变</x:v>
      </x:c>
      <x:c r="H46" s="8" t="str">
        <x:v>明确业务/状态断言全部成立</x:v>
      </x:c>
      <x:c r="I46" s="8" t="str">
        <x:v>通过</x:v>
      </x:c>
      <x:c r="J46" s="8" t="str">
        <x:v>evidence/runs/20261008-150847-all/junit.xml; tests.api.test_business::test_cart_over_stock</x:v>
      </x:c>
      <x:c r="K46" s="8" t="str"/>
    </x:row>
    <x:row r="47" ht="40" customHeight="1">
      <x:c r="A47" s="8" t="str">
        <x:v>T026</x:v>
      </x:c>
      <x:c r="B47" s="8" t="str">
        <x:v>pytest接口</x:v>
      </x:c>
      <x:c r="C47" s="8" t="str">
        <x:v>缺少货品ID</x:v>
      </x:c>
      <x:c r="D47" s="8" t="str">
        <x:v>异常等价类</x:v>
      </x:c>
      <x:c r="E47" s="8" t="str">
        <x:v>独立litemall_qa；每用例SQL创建专用用户；UI390×844 Chromium</x:v>
      </x:c>
      <x:c r="F47" s="8" t="str">
        <x:v>POST cart/add不传productId，number=1</x:v>
      </x:c>
      <x:c r="G47" s="8" t="str">
        <x:v>errno=401</x:v>
      </x:c>
      <x:c r="H47" s="8" t="str">
        <x:v>明确业务/状态断言全部成立</x:v>
      </x:c>
      <x:c r="I47" s="8" t="str">
        <x:v>通过</x:v>
      </x:c>
      <x:c r="J47" s="8" t="str">
        <x:v>evidence/runs/20261008-150847-all/junit.xml; tests.api.test_business::test_cart_missing_product</x:v>
      </x:c>
      <x:c r="K47" s="8" t="str"/>
    </x:row>
    <x:row r="48" ht="40" customHeight="1">
      <x:c r="A48" s="8" t="str">
        <x:v>T027</x:v>
      </x:c>
      <x:c r="B48" s="8" t="str">
        <x:v>pytest接口</x:v>
      </x:c>
      <x:c r="C48" s="8" t="str">
        <x:v>购物车加购、累加、修改、删除</x:v>
      </x:c>
      <x:c r="D48" s="8" t="str">
        <x:v>业务场景</x:v>
      </x:c>
      <x:c r="E48" s="8" t="str">
        <x:v>独立litemall_qa；每用例SQL创建专用用户；UI390×844 Chromium</x:v>
      </x:c>
      <x:c r="F48" s="8" t="str">
        <x:v>购买1; 再加1; update=3; 查询API+SQL; 删除</x:v>
      </x:c>
      <x:c r="G48" s="8" t="str">
        <x:v>数量与金额正确; 不扣库存; 删除后空购物车</x:v>
      </x:c>
      <x:c r="H48" s="8" t="str">
        <x:v>明确业务/状态断言全部成立</x:v>
      </x:c>
      <x:c r="I48" s="8" t="str">
        <x:v>通过</x:v>
      </x:c>
      <x:c r="J48" s="8" t="str">
        <x:v>evidence/runs/20261008-150847-all/junit.xml; tests.api.test_business::test_cart_add_update_delete</x:v>
      </x:c>
      <x:c r="K48" s="8" t="str"/>
    </x:row>
    <x:row r="49" ht="40" customHeight="1">
      <x:c r="A49" s="8" t="str">
        <x:v>T028</x:v>
      </x:c>
      <x:c r="B49" s="8" t="str">
        <x:v>pytest接口</x:v>
      </x:c>
      <x:c r="C49" s="8" t="str">
        <x:v>购物车修改越权被拒绝</x:v>
      </x:c>
      <x:c r="D49" s="8" t="str">
        <x:v>权限场景</x:v>
      </x:c>
      <x:c r="E49" s="8" t="str">
        <x:v>独立litemall_qa；每用例SQL创建专用用户；UI390×844 Chromium</x:v>
      </x:c>
      <x:c r="F49" s="8" t="str">
        <x:v>A拿B的cartId调用cart/update</x:v>
      </x:c>
      <x:c r="G49" s="8" t="str">
        <x:v>errno=402; B数量不变</x:v>
      </x:c>
      <x:c r="H49" s="8" t="str">
        <x:v>明确业务/状态断言全部成立</x:v>
      </x:c>
      <x:c r="I49" s="8" t="str">
        <x:v>通过</x:v>
      </x:c>
      <x:c r="J49" s="8" t="str">
        <x:v>evidence/runs/20261008-150847-all/junit.xml; tests.api.test_business::test_cart_cross_user_update_rejected</x:v>
      </x:c>
      <x:c r="K49" s="8" t="str"/>
    </x:row>
    <x:row r="50" ht="40" customHeight="1">
      <x:c r="A50" s="8" t="str">
        <x:v>T029</x:v>
      </x:c>
      <x:c r="B50" s="8" t="str">
        <x:v>pytest接口</x:v>
      </x:c>
      <x:c r="C50" s="8" t="str">
        <x:v>订单创建、金额、取消、重复取消[1]</x:v>
      </x:c>
      <x:c r="D50" s="8" t="str">
        <x:v>状态迁移、数量边界</x:v>
      </x:c>
      <x:c r="E50" s="8" t="str">
        <x:v>独立litemall_qa；每用例SQL创建专用用户；UI390×844 Chromium</x:v>
      </x:c>
      <x:c r="F50" s="8" t="str">
        <x:v>关联真实cartId/addressId/orderId; SQL核对; 两次取消</x:v>
      </x:c>
      <x:c r="G50" s="8" t="str">
        <x:v>101→102; 明细和金额正确; 扣库存后恢复; 重复取消不多加库存</x:v>
      </x:c>
      <x:c r="H50" s="8" t="str">
        <x:v>明确业务/状态断言全部成立</x:v>
      </x:c>
      <x:c r="I50" s="8" t="str">
        <x:v>通过</x:v>
      </x:c>
      <x:c r="J50" s="8" t="str">
        <x:v>evidence/runs/20261008-150847-all/junit.xml; tests.api.test_business::test_order_create_cancel_business_flow[1]</x:v>
      </x:c>
      <x:c r="K50" s="8" t="str"/>
    </x:row>
    <x:row r="51" ht="40" customHeight="1">
      <x:c r="A51" s="8" t="str">
        <x:v>T030</x:v>
      </x:c>
      <x:c r="B51" s="8" t="str">
        <x:v>pytest接口</x:v>
      </x:c>
      <x:c r="C51" s="8" t="str">
        <x:v>订单创建、金额、取消、重复取消[2]</x:v>
      </x:c>
      <x:c r="D51" s="8" t="str">
        <x:v>状态迁移、数量边界</x:v>
      </x:c>
      <x:c r="E51" s="8" t="str">
        <x:v>独立litemall_qa；每用例SQL创建专用用户；UI390×844 Chromium</x:v>
      </x:c>
      <x:c r="F51" s="8" t="str">
        <x:v>关联真实cartId/addressId/orderId; SQL核对; 两次取消</x:v>
      </x:c>
      <x:c r="G51" s="8" t="str">
        <x:v>101→102; 明细和金额正确; 扣库存后恢复; 重复取消不多加库存</x:v>
      </x:c>
      <x:c r="H51" s="8" t="str">
        <x:v>明确业务/状态断言全部成立</x:v>
      </x:c>
      <x:c r="I51" s="8" t="str">
        <x:v>通过</x:v>
      </x:c>
      <x:c r="J51" s="8" t="str">
        <x:v>evidence/runs/20261008-150847-all/junit.xml; tests.api.test_business::test_order_create_cancel_business_flow[2]</x:v>
      </x:c>
      <x:c r="K51" s="8" t="str"/>
    </x:row>
    <x:row r="52" ht="40" customHeight="1">
      <x:c r="A52" s="8" t="str">
        <x:v>T031</x:v>
      </x:c>
      <x:c r="B52" s="8" t="str">
        <x:v>pytest接口</x:v>
      </x:c>
      <x:c r="C52" s="8" t="str">
        <x:v>下单缺少必填参数</x:v>
      </x:c>
      <x:c r="D52" s="8" t="str">
        <x:v>异常等价类</x:v>
      </x:c>
      <x:c r="E52" s="8" t="str">
        <x:v>独立litemall_qa；每用例SQL创建专用用户；UI390×844 Chromium</x:v>
      </x:c>
      <x:c r="F52" s="8" t="str">
        <x:v>POST order/submit JSON={}</x:v>
      </x:c>
      <x:c r="G52" s="8" t="str">
        <x:v>errno=401且无订单生成</x:v>
      </x:c>
      <x:c r="H52" s="8" t="str">
        <x:v>明确业务/状态断言全部成立</x:v>
      </x:c>
      <x:c r="I52" s="8" t="str">
        <x:v>通过</x:v>
      </x:c>
      <x:c r="J52" s="8" t="str">
        <x:v>evidence/runs/20261008-150847-all/junit.xml; tests.api.test_business::test_order_required_params</x:v>
      </x:c>
      <x:c r="K52" s="8" t="str"/>
    </x:row>
    <x:row r="53" ht="40" customHeight="1">
      <x:c r="A53" s="8" t="str">
        <x:v>T032</x:v>
      </x:c>
      <x:c r="B53" s="8" t="str">
        <x:v>pytest接口</x:v>
      </x:c>
      <x:c r="C53" s="8" t="str">
        <x:v>空购物车不可下单</x:v>
      </x:c>
      <x:c r="D53" s="8" t="str">
        <x:v>下边界场景</x:v>
      </x:c>
      <x:c r="E53" s="8" t="str">
        <x:v>独立litemall_qa；每用例SQL创建专用用户；UI390×844 Chromium</x:v>
      </x:c>
      <x:c r="F53" s="8" t="str">
        <x:v>本人有效地址; cartId=0; 无勾选购物车</x:v>
      </x:c>
      <x:c r="G53" s="8" t="str">
        <x:v>errno=402且无订单生成</x:v>
      </x:c>
      <x:c r="H53" s="8" t="str">
        <x:v>明确业务/状态断言全部成立</x:v>
      </x:c>
      <x:c r="I53" s="8" t="str">
        <x:v>通过</x:v>
      </x:c>
      <x:c r="J53" s="8" t="str">
        <x:v>evidence/runs/20261008-150847-all/junit.xml; tests.api.test_business::test_empty_cart_no_order</x:v>
      </x:c>
      <x:c r="K53" s="8" t="str"/>
    </x:row>
    <x:row r="54" ht="40" customHeight="1">
      <x:c r="A54" s="8" t="str">
        <x:v>T033</x:v>
      </x:c>
      <x:c r="B54" s="8" t="str">
        <x:v>pytest接口</x:v>
      </x:c>
      <x:c r="C54" s="8" t="str">
        <x:v>跨用户订单查看与取消</x:v>
      </x:c>
      <x:c r="D54" s="8" t="str">
        <x:v>权限场景</x:v>
      </x:c>
      <x:c r="E54" s="8" t="str">
        <x:v>独立litemall_qa；每用例SQL创建专用用户；UI390×844 Chromium</x:v>
      </x:c>
      <x:c r="F54" s="8" t="str">
        <x:v>A创建订单; B查看或取消A订单</x:v>
      </x:c>
      <x:c r="G54" s="8" t="str">
        <x:v>业务拒绝; A订单仍为101</x:v>
      </x:c>
      <x:c r="H54" s="8" t="str">
        <x:v>明确业务/状态断言全部成立</x:v>
      </x:c>
      <x:c r="I54" s="8" t="str">
        <x:v>通过</x:v>
      </x:c>
      <x:c r="J54" s="8" t="str">
        <x:v>evidence/runs/20261008-150847-all/junit.xml; tests.api.test_business::test_other_user_order_access_rejected</x:v>
      </x:c>
      <x:c r="K54" s="8" t="str"/>
    </x:row>
    <x:row r="55" ht="40" customHeight="1">
      <x:c r="A55" s="8" t="str">
        <x:v>T034</x:v>
      </x:c>
      <x:c r="B55" s="8" t="str">
        <x:v>pytest接口</x:v>
      </x:c>
      <x:c r="C55" s="8" t="str">
        <x:v>缺少数量应为参数错误</x:v>
      </x:c>
      <x:c r="D55" s="8" t="str">
        <x:v>异常等价类</x:v>
      </x:c>
      <x:c r="E55" s="8" t="str">
        <x:v>独立litemall_qa；每用例SQL创建专用用户；UI390×844 Chromium</x:v>
      </x:c>
      <x:c r="F55" s="8" t="str">
        <x:v>POST cart/add仅goodsId/productId，不传number</x:v>
      </x:c>
      <x:c r="G55" s="8" t="str">
        <x:v>errno=401，不能出现内部错误</x:v>
      </x:c>
      <x:c r="H55" s="8" t="str">
        <x:v>HTTP200; errno=502; NullPointerException</x:v>
      </x:c>
      <x:c r="I55" s="8" t="str">
        <x:v>失败</x:v>
      </x:c>
      <x:c r="J55" s="8" t="str">
        <x:v>evidence/runs/20261008-150847-all/junit.xml; tests.api.test_business::test_missing_cart_number_should_be_validation_error</x:v>
      </x:c>
      <x:c r="K55" s="8" t="str">
        <x:v>BUG-001</x:v>
      </x:c>
    </x:row>
    <x:row r="56" ht="40" customHeight="1">
      <x:c r="A56" s="8" t="str">
        <x:v>T035</x:v>
      </x:c>
      <x:c r="B56" s="8" t="str">
        <x:v>pytest接口</x:v>
      </x:c>
      <x:c r="C56" s="8" t="str">
        <x:v>禁止跨用户购物车下单</x:v>
      </x:c>
      <x:c r="D56" s="8" t="str">
        <x:v>权限场景、SQL核对</x:v>
      </x:c>
      <x:c r="E56" s="8" t="str">
        <x:v>独立litemall_qa；每用例SQL创建专用用户；UI390×844 Chromium</x:v>
      </x:c>
      <x:c r="F56" s="8" t="str">
        <x:v>B拥有购物车; A带B cartId和本人地址下单</x:v>
      </x:c>
      <x:c r="G56" s="8" t="str">
        <x:v>拒绝; B购物车不变; 不产生A订单; 不扣库存</x:v>
      </x:c>
      <x:c r="H56" s="8" t="str">
        <x:v>errno=0; A生成101订单; B购物车deleted=1; 库存100→99</x:v>
      </x:c>
      <x:c r="I56" s="8" t="str">
        <x:v>失败</x:v>
      </x:c>
      <x:c r="J56" s="8" t="str">
        <x:v>evidence/runs/20261008-150847-all/junit.xml; tests.api.test_business::test_submit_foreign_cart_must_be_rejected</x:v>
      </x:c>
      <x:c r="K56" s="8" t="str">
        <x:v>BUG-002</x:v>
      </x:c>
    </x:row>
    <x:row r="57" ht="40" customHeight="1">
      <x:c r="A57" s="8" t="str">
        <x:v>T036</x:v>
      </x:c>
      <x:c r="B57" s="8" t="str">
        <x:v>pytest接口</x:v>
      </x:c>
      <x:c r="C57" s="8" t="str">
        <x:v>商品与货品必须属于同一商品</x:v>
      </x:c>
      <x:c r="D57" s="8" t="str">
        <x:v>数据关联等价类</x:v>
      </x:c>
      <x:c r="E57" s="8" t="str">
        <x:v>独立litemall_qa；每用例SQL创建专用用户；UI390×844 Chromium</x:v>
      </x:c>
      <x:c r="F57" s="8" t="str">
        <x:v>传商品A goodsId + 商品B productId</x:v>
      </x:c>
      <x:c r="G57" s="8" t="str">
        <x:v>拒绝不一致组合; 不保存错误购物车</x:v>
      </x:c>
      <x:c r="H57" s="8" t="str">
        <x:v>errno=0; goodsId=1181000却关联productId=7/实际goodsId=1006002; 错配价格899</x:v>
      </x:c>
      <x:c r="I57" s="8" t="str">
        <x:v>失败</x:v>
      </x:c>
      <x:c r="J57" s="8" t="str">
        <x:v>evidence/runs/20261008-150847-all/junit.xml; tests.api.test_business::test_mismatched_goods_product_must_be_rejected</x:v>
      </x:c>
      <x:c r="K57" s="8" t="str">
        <x:v>BUG-003</x:v>
      </x:c>
    </x:row>
    <x:row r="58" ht="40" customHeight="1">
      <x:c r="A58" s="8" t="str">
        <x:v>T037</x:v>
      </x:c>
      <x:c r="B58" s="8" t="str">
        <x:v>pytest页面</x:v>
      </x:c>
      <x:c r="C58" s="8" t="str">
        <x:v>页面错误密码登录</x:v>
      </x:c>
      <x:c r="D58" s="8" t="str">
        <x:v>异常等价类</x:v>
      </x:c>
      <x:c r="E58" s="8" t="str">
        <x:v>独立litemall_qa；每用例SQL创建专用用户；UI390×844 Chromium</x:v>
      </x:c>
      <x:c r="F58" s="8" t="str">
        <x:v>真实页面填写账号及错误密码; 点击登录</x:v>
      </x:c>
      <x:c r="G58" s="8" t="str">
        <x:v>停留登录页并显示账号密码不对</x:v>
      </x:c>
      <x:c r="H58" s="8" t="str">
        <x:v>明确业务/状态断言全部成立</x:v>
      </x:c>
      <x:c r="I58" s="8" t="str">
        <x:v>通过</x:v>
      </x:c>
      <x:c r="J58" s="8" t="str">
        <x:v>evidence/runs/20261008-150847-all/junit.xml; tests.ui.test_core_pages::test_ui_login_wrong_password</x:v>
      </x:c>
      <x:c r="K58" s="8" t="str"/>
    </x:row>
    <x:row r="59" ht="40" customHeight="1">
      <x:c r="A59" s="8" t="str">
        <x:v>T038</x:v>
      </x:c>
      <x:c r="B59" s="8" t="str">
        <x:v>pytest页面</x:v>
      </x:c>
      <x:c r="C59" s="8" t="str">
        <x:v>页面登录及商品搜索</x:v>
      </x:c>
      <x:c r="D59" s="8" t="str">
        <x:v>场景法</x:v>
      </x:c>
      <x:c r="E59" s="8" t="str">
        <x:v>独立litemall_qa；每用例SQL创建专用用户；UI390×844 Chromium</x:v>
      </x:c>
      <x:c r="F59" s="8" t="str">
        <x:v>输入账号密码登录; 搜索真实商品; 点击搜索卡片</x:v>
      </x:c>
      <x:c r="G59" s="8" t="str">
        <x:v>进入个人中心; 可打开目标详情并显示商品详情</x:v>
      </x:c>
      <x:c r="H59" s="8" t="str">
        <x:v>明确业务/状态断言全部成立</x:v>
      </x:c>
      <x:c r="I59" s="8" t="str">
        <x:v>通过</x:v>
      </x:c>
      <x:c r="J59" s="8" t="str">
        <x:v>evidence/runs/20261008-150847-all/junit.xml; tests.ui.test_core_pages::test_ui_search_product</x:v>
      </x:c>
      <x:c r="K59" s="8" t="str"/>
    </x:row>
    <x:row r="60" ht="40" customHeight="1">
      <x:c r="A60" s="8" t="str">
        <x:v>T039</x:v>
      </x:c>
      <x:c r="B60" s="8" t="str">
        <x:v>pytest页面</x:v>
      </x:c>
      <x:c r="C60" s="8" t="str">
        <x:v>页面完整购物和取消订单</x:v>
      </x:c>
      <x:c r="D60" s="8" t="str">
        <x:v>端到端场景、SQL核对</x:v>
      </x:c>
      <x:c r="E60" s="8" t="str">
        <x:v>独立litemall_qa；每用例SQL创建专用用户；UI390×844 Chromium</x:v>
      </x:c>
      <x:c r="F60" s="8" t="str">
        <x:v>API只准备地址; UI登录/搜索/选规格/加购/结算/提交/订单列表取消</x:v>
      </x:c>
      <x:c r="G60" s="8" t="str">
        <x:v>数据库101→102; 库存100→99→100</x:v>
      </x:c>
      <x:c r="H60" s="8" t="str">
        <x:v>明确业务/状态断言全部成立</x:v>
      </x:c>
      <x:c r="I60" s="8" t="str">
        <x:v>通过</x:v>
      </x:c>
      <x:c r="J60" s="8" t="str">
        <x:v>evidence/runs/20261008-150847-all/junit.xml; tests.ui.test_core_pages::test_ui_create_order_cancel_from_list</x:v>
      </x:c>
      <x:c r="K60" s="8" t="str"/>
    </x:row>
    <x:row r="61" ht="40" customHeight="1">
      <x:c r="A61" s="8" t="str">
        <x:v>T040</x:v>
      </x:c>
      <x:c r="B61" s="8" t="str">
        <x:v>pytest页面</x:v>
      </x:c>
      <x:c r="C61" s="8" t="str">
        <x:v>订单详情取消按钮</x:v>
      </x:c>
      <x:c r="D61" s="8" t="str">
        <x:v>状态迁移、请求与SQL核对</x:v>
      </x:c>
      <x:c r="E61" s="8" t="str">
        <x:v>独立litemall_qa；每用例SQL创建专用用户；UI390×844 Chromium</x:v>
      </x:c>
      <x:c r="F61" s="8" t="str">
        <x:v>API准备待付款订单; 页面登录; 详情点击取消并确认</x:v>
      </x:c>
      <x:c r="G61" s="8" t="str">
        <x:v>发取消请求; SQL状态102; 恢复库存</x:v>
      </x:c>
      <x:c r="H61" s="8" t="str">
        <x:v>页面请求order/delete; errno=725; 状态仍101; 库存仍99</x:v>
      </x:c>
      <x:c r="I61" s="8" t="str">
        <x:v>失败</x:v>
      </x:c>
      <x:c r="J61" s="8" t="str">
        <x:v>evidence/runs/20261008-150847-all/junit.xml; tests.ui.test_core_pages::test_ui_detail_cancel_should_cancel_order</x:v>
      </x:c>
      <x:c r="K61" s="8" t="str">
        <x:v>BUG-004</x:v>
      </x:c>
    </x:row>
    <x:row r="62" ht="34" customHeight="1">
      <x:c r="A62" s="8" t="str">
        <x:v>B001</x:v>
      </x:c>
      <x:c r="B62" s="8" t="str">
        <x:v>未执行成功路径</x:v>
      </x:c>
      <x:c r="C62" s="8" t="str">
        <x:v>成功注册新用户</x:v>
      </x:c>
      <x:c r="D62" s="8" t="str">
        <x:v>场景法</x:v>
      </x:c>
      <x:c r="E62" s="8" t="str">
        <x:v>需真实短信验证码服务</x:v>
      </x:c>
      <x:c r="F62" s="8" t="str">
        <x:v>请求regCaptcha后以有效验证码调用register</x:v>
      </x:c>
      <x:c r="G62" s="8" t="str">
        <x:v>创建用户并返回Token</x:v>
      </x:c>
      <x:c r="H62" s="8" t="str">
        <x:v>本地SMS关闭；实测regCaptcha errno=701；未取得有效验证码</x:v>
      </x:c>
      <x:c r="I62" s="8" t="str">
        <x:v>阻塞</x:v>
      </x:c>
      <x:c r="J62" s="8" t="str">
        <x:v>evidence/p0-rerun/http.jsonl</x:v>
      </x:c>
      <x:c r="K62" s="8" t="str"/>
    </x:row>
  </x:sheetData>
  <x:conditionalFormatting sqref="I5:I62">
    <x:cfRule type="containsText" dxfId="0" priority="1" operator="containsText" text="失败"/>
    <x:cfRule type="containsText" dxfId="1" priority="2" operator="containsText" text="阻塞"/>
  </x:conditionalFormatting>
  <x:pageMargins left="0.7" right="0.7" top="0.75" bottom="0.75" header="0.3" footer="0.3"/>
</x:worksheet>
</file>